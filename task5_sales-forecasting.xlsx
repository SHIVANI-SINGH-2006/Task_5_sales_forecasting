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ivani\Documents\"/>
    </mc:Choice>
  </mc:AlternateContent>
  <xr:revisionPtr revIDLastSave="0" documentId="8_{13BD4D79-16A0-4B79-ADD7-72F1E61A53C5}" xr6:coauthVersionLast="47" xr6:coauthVersionMax="47" xr10:uidLastSave="{00000000-0000-0000-0000-000000000000}"/>
  <bookViews>
    <workbookView xWindow="-108" yWindow="-108" windowWidth="23256" windowHeight="12456" xr2:uid="{93E33724-817A-437F-A50E-31AD2AB54EF5}"/>
  </bookViews>
  <sheets>
    <sheet name="DRUG DEMAND FORECAST" sheetId="2" r:id="rId1"/>
    <sheet name="HISTORICAL 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4" i="2" l="1"/>
  <c r="C15" i="2"/>
  <c r="C16" i="2"/>
  <c r="D16" i="2"/>
  <c r="D15" i="2"/>
  <c r="E15" i="2"/>
  <c r="D14" i="2"/>
  <c r="E14" i="2"/>
  <c r="E16" i="2"/>
</calcChain>
</file>

<file path=xl/sharedStrings.xml><?xml version="1.0" encoding="utf-8"?>
<sst xmlns="http://schemas.openxmlformats.org/spreadsheetml/2006/main" count="22" uniqueCount="9">
  <si>
    <t>MONTH</t>
  </si>
  <si>
    <t>MEDICINE</t>
  </si>
  <si>
    <t>QUANTITY SOLD</t>
  </si>
  <si>
    <t>paracetamol</t>
  </si>
  <si>
    <t>Forecast(QUANTITY SOLD)</t>
  </si>
  <si>
    <t>Lower Confidence Bound(QUANTITY SOLD)</t>
  </si>
  <si>
    <t>Upper Confidence Bound(QUANTITY SOLD)</t>
  </si>
  <si>
    <t>CONCLUSION: The forecast shows the expected quantity of medicine sold in the upcoming months.</t>
  </si>
  <si>
    <t>The confidence bounds indicates the possible range of forecast values.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</si>
</sst>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6"/>
      <color theme="1"/>
      <name val="Cooper Black"/>
      <family val="1"/>
    </font>
    <font>
      <sz val="14"/>
      <color theme="1"/>
      <name val="Aharoni"/>
      <charset val="177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7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5">
    <dxf>
      <numFmt numFmtId="2" formatCode="0.00"/>
    </dxf>
    <dxf>
      <numFmt numFmtId="2" formatCode="0.00"/>
    </dxf>
    <dxf>
      <numFmt numFmtId="22" formatCode="mmm/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ooper Black"/>
        <family val="1"/>
        <scheme val="none"/>
      </font>
    </dxf>
    <dxf>
      <numFmt numFmtId="22" formatCode="m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4449706944526665E-2"/>
          <c:y val="2.8662478771035973E-2"/>
          <c:w val="0.88294313366453914"/>
          <c:h val="0.55520550331647378"/>
        </c:manualLayout>
      </c:layout>
      <c:lineChart>
        <c:grouping val="standard"/>
        <c:varyColors val="0"/>
        <c:ser>
          <c:idx val="0"/>
          <c:order val="0"/>
          <c:tx>
            <c:strRef>
              <c:f>'DRUG DEMAND FORECAST'!$B$1</c:f>
              <c:strCache>
                <c:ptCount val="1"/>
                <c:pt idx="0">
                  <c:v>QUANTITY SOLD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'DRUG DEMAND FORECAST'!$B$2:$B$16</c:f>
              <c:numCache>
                <c:formatCode>General</c:formatCode>
                <c:ptCount val="15"/>
                <c:pt idx="0">
                  <c:v>420</c:v>
                </c:pt>
                <c:pt idx="1">
                  <c:v>450</c:v>
                </c:pt>
                <c:pt idx="2">
                  <c:v>480</c:v>
                </c:pt>
                <c:pt idx="3">
                  <c:v>510</c:v>
                </c:pt>
                <c:pt idx="4">
                  <c:v>530</c:v>
                </c:pt>
                <c:pt idx="5">
                  <c:v>560</c:v>
                </c:pt>
                <c:pt idx="6">
                  <c:v>590</c:v>
                </c:pt>
                <c:pt idx="7">
                  <c:v>610</c:v>
                </c:pt>
                <c:pt idx="8">
                  <c:v>640</c:v>
                </c:pt>
                <c:pt idx="9">
                  <c:v>670</c:v>
                </c:pt>
                <c:pt idx="10">
                  <c:v>700</c:v>
                </c:pt>
                <c:pt idx="11">
                  <c:v>730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BD-4BE1-A517-BDFF00A74DF0}"/>
            </c:ext>
          </c:extLst>
        </c:ser>
        <c:ser>
          <c:idx val="1"/>
          <c:order val="1"/>
          <c:tx>
            <c:strRef>
              <c:f>'DRUG DEMAND FORECAST'!$C$1</c:f>
              <c:strCache>
                <c:ptCount val="1"/>
                <c:pt idx="0">
                  <c:v>Forecast(QUANTITY SOLD)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'DRUG DEMAND FORECAST'!$A$2:$A$16</c:f>
              <c:numCache>
                <c:formatCode>mmm\-yy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'DRUG DEMAND FORECAST'!$C$2:$C$16</c:f>
              <c:numCache>
                <c:formatCode>General</c:formatCode>
                <c:ptCount val="15"/>
                <c:pt idx="11">
                  <c:v>730</c:v>
                </c:pt>
                <c:pt idx="12">
                  <c:v>753.66323023059351</c:v>
                </c:pt>
                <c:pt idx="13">
                  <c:v>781.33387220658983</c:v>
                </c:pt>
                <c:pt idx="14">
                  <c:v>809.00451418258615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6BD-4BE1-A517-BDFF00A74DF0}"/>
            </c:ext>
          </c:extLst>
        </c:ser>
        <c:ser>
          <c:idx val="2"/>
          <c:order val="2"/>
          <c:tx>
            <c:strRef>
              <c:f>'DRUG DEMAND FORECAST'!$D$1</c:f>
              <c:strCache>
                <c:ptCount val="1"/>
                <c:pt idx="0">
                  <c:v>Lower Confidence Bound(QUANTITY SOLD)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'DRUG DEMAND FORECAST'!$A$2:$A$16</c:f>
              <c:numCache>
                <c:formatCode>mmm\-yy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'DRUG DEMAND FORECAST'!$D$2:$D$16</c:f>
              <c:numCache>
                <c:formatCode>General</c:formatCode>
                <c:ptCount val="15"/>
                <c:pt idx="11" formatCode="0.00">
                  <c:v>730</c:v>
                </c:pt>
                <c:pt idx="12" formatCode="0.00">
                  <c:v>747.03589738066319</c:v>
                </c:pt>
                <c:pt idx="13" formatCode="0.00">
                  <c:v>774.65330701839082</c:v>
                </c:pt>
                <c:pt idx="14" formatCode="0.00">
                  <c:v>802.27030585816772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BD-4BE1-A517-BDFF00A74DF0}"/>
            </c:ext>
          </c:extLst>
        </c:ser>
        <c:ser>
          <c:idx val="3"/>
          <c:order val="3"/>
          <c:tx>
            <c:strRef>
              <c:f>'DRUG DEMAND FORECAST'!$E$1</c:f>
              <c:strCache>
                <c:ptCount val="1"/>
                <c:pt idx="0">
                  <c:v>Upper Confidence Bound(QUANTITY SOLD)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'DRUG DEMAND FORECAST'!$A$2:$A$16</c:f>
              <c:numCache>
                <c:formatCode>mmm\-yy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'DRUG DEMAND FORECAST'!$E$2:$E$16</c:f>
              <c:numCache>
                <c:formatCode>General</c:formatCode>
                <c:ptCount val="15"/>
                <c:pt idx="11" formatCode="0.00">
                  <c:v>730</c:v>
                </c:pt>
                <c:pt idx="12" formatCode="0.00">
                  <c:v>760.29056308052384</c:v>
                </c:pt>
                <c:pt idx="13" formatCode="0.00">
                  <c:v>788.01443739478884</c:v>
                </c:pt>
                <c:pt idx="14" formatCode="0.00">
                  <c:v>815.73872250700458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6BD-4BE1-A517-BDFF00A74D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8526143"/>
        <c:axId val="619020335"/>
      </c:lineChart>
      <c:catAx>
        <c:axId val="788526143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9020335"/>
        <c:crosses val="autoZero"/>
        <c:auto val="1"/>
        <c:lblAlgn val="ctr"/>
        <c:lblOffset val="100"/>
        <c:noMultiLvlLbl val="0"/>
      </c:catAx>
      <c:valAx>
        <c:axId val="619020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8526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</a:t>
            </a:r>
            <a:r>
              <a:rPr lang="en-IN" baseline="0"/>
              <a:t> QUANTITY SOLD FORECAST(2026)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2806732491771863E-2"/>
          <c:y val="0.1336969696969697"/>
          <c:w val="0.91294282659112058"/>
          <c:h val="0.555681539807524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'DRUG DEMAND FORECAST'!$B$1</c:f>
              <c:strCache>
                <c:ptCount val="1"/>
                <c:pt idx="0">
                  <c:v>QUANTITY SOLD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'DRUG DEMAND FORECAST'!$A$2:$A$16</c:f>
              <c:numCache>
                <c:formatCode>mmm\-yy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'DRUG DEMAND FORECAST'!$B$2:$B$16</c:f>
              <c:numCache>
                <c:formatCode>General</c:formatCode>
                <c:ptCount val="15"/>
                <c:pt idx="0">
                  <c:v>420</c:v>
                </c:pt>
                <c:pt idx="1">
                  <c:v>450</c:v>
                </c:pt>
                <c:pt idx="2">
                  <c:v>480</c:v>
                </c:pt>
                <c:pt idx="3">
                  <c:v>510</c:v>
                </c:pt>
                <c:pt idx="4">
                  <c:v>530</c:v>
                </c:pt>
                <c:pt idx="5">
                  <c:v>560</c:v>
                </c:pt>
                <c:pt idx="6">
                  <c:v>590</c:v>
                </c:pt>
                <c:pt idx="7">
                  <c:v>610</c:v>
                </c:pt>
                <c:pt idx="8">
                  <c:v>640</c:v>
                </c:pt>
                <c:pt idx="9">
                  <c:v>670</c:v>
                </c:pt>
                <c:pt idx="10">
                  <c:v>700</c:v>
                </c:pt>
                <c:pt idx="11">
                  <c:v>730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DE-48BA-BB71-11D825BA0462}"/>
            </c:ext>
          </c:extLst>
        </c:ser>
        <c:ser>
          <c:idx val="1"/>
          <c:order val="1"/>
          <c:tx>
            <c:strRef>
              <c:f>'DRUG DEMAND FORECAST'!$C$1</c:f>
              <c:strCache>
                <c:ptCount val="1"/>
                <c:pt idx="0">
                  <c:v>Forecast(QUANTITY SOLD)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'DRUG DEMAND FORECAST'!$A$2:$A$16</c:f>
              <c:numCache>
                <c:formatCode>mmm\-yy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'DRUG DEMAND FORECAST'!$C$2:$C$16</c:f>
              <c:numCache>
                <c:formatCode>General</c:formatCode>
                <c:ptCount val="15"/>
                <c:pt idx="11">
                  <c:v>730</c:v>
                </c:pt>
                <c:pt idx="12">
                  <c:v>753.66323023059351</c:v>
                </c:pt>
                <c:pt idx="13">
                  <c:v>781.33387220658983</c:v>
                </c:pt>
                <c:pt idx="14">
                  <c:v>809.00451418258615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DE-48BA-BB71-11D825BA0462}"/>
            </c:ext>
          </c:extLst>
        </c:ser>
        <c:ser>
          <c:idx val="2"/>
          <c:order val="2"/>
          <c:tx>
            <c:strRef>
              <c:f>'DRUG DEMAND FORECAST'!$D$1</c:f>
              <c:strCache>
                <c:ptCount val="1"/>
                <c:pt idx="0">
                  <c:v>Lower Confidence Bound(QUANTITY SOLD)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'DRUG DEMAND FORECAST'!$A$2:$A$16</c:f>
              <c:numCache>
                <c:formatCode>mmm\-yy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'DRUG DEMAND FORECAST'!$D$2:$D$16</c:f>
              <c:numCache>
                <c:formatCode>General</c:formatCode>
                <c:ptCount val="15"/>
                <c:pt idx="11" formatCode="0.00">
                  <c:v>730</c:v>
                </c:pt>
                <c:pt idx="12" formatCode="0.00">
                  <c:v>747.03589738066319</c:v>
                </c:pt>
                <c:pt idx="13" formatCode="0.00">
                  <c:v>774.65330701839082</c:v>
                </c:pt>
                <c:pt idx="14" formatCode="0.00">
                  <c:v>802.27030585816772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7DE-48BA-BB71-11D825BA0462}"/>
            </c:ext>
          </c:extLst>
        </c:ser>
        <c:ser>
          <c:idx val="3"/>
          <c:order val="3"/>
          <c:tx>
            <c:strRef>
              <c:f>'DRUG DEMAND FORECAST'!$E$1</c:f>
              <c:strCache>
                <c:ptCount val="1"/>
                <c:pt idx="0">
                  <c:v>Upper Confidence Bound(QUANTITY SOLD)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'DRUG DEMAND FORECAST'!$A$2:$A$16</c:f>
              <c:numCache>
                <c:formatCode>mmm\-yy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'DRUG DEMAND FORECAST'!$E$2:$E$16</c:f>
              <c:numCache>
                <c:formatCode>General</c:formatCode>
                <c:ptCount val="15"/>
                <c:pt idx="11" formatCode="0.00">
                  <c:v>730</c:v>
                </c:pt>
                <c:pt idx="12" formatCode="0.00">
                  <c:v>760.29056308052384</c:v>
                </c:pt>
                <c:pt idx="13" formatCode="0.00">
                  <c:v>788.01443739478884</c:v>
                </c:pt>
                <c:pt idx="14" formatCode="0.00">
                  <c:v>815.73872250700458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7DE-48BA-BB71-11D825BA04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6929247"/>
        <c:axId val="619060655"/>
      </c:barChart>
      <c:dateAx>
        <c:axId val="6969292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9060655"/>
        <c:crosses val="autoZero"/>
        <c:auto val="1"/>
        <c:lblOffset val="100"/>
        <c:baseTimeUnit val="months"/>
      </c:dateAx>
      <c:valAx>
        <c:axId val="619060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6929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609600</xdr:colOff>
      <xdr:row>17</xdr:row>
      <xdr:rowOff>7620</xdr:rowOff>
    </xdr:from>
    <xdr:to>
      <xdr:col>4</xdr:col>
      <xdr:colOff>297180</xdr:colOff>
      <xdr:row>39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3EE06E-8766-3167-99CE-2B548562C8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175260</xdr:colOff>
      <xdr:row>1</xdr:row>
      <xdr:rowOff>26670</xdr:rowOff>
    </xdr:from>
    <xdr:to>
      <xdr:col>14</xdr:col>
      <xdr:colOff>449580</xdr:colOff>
      <xdr:row>18</xdr:row>
      <xdr:rowOff>60960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0ABB3B5-ADEE-4C48-4641-FF252743E9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588DDC9-0D97-40E5-B60E-17A3D0F7B152}" name="Table2" displayName="Table2" ref="A1:E16" totalsRowShown="0">
  <autoFilter ref="A1:E16" xr:uid="{1588DDC9-0D97-40E5-B60E-17A3D0F7B152}"/>
  <tableColumns count="5">
    <tableColumn id="1" xr3:uid="{1F4FCDC2-A74C-4358-A5AF-CD2B2130B71A}" name="MONTH" dataDxfId="2"/>
    <tableColumn id="2" xr3:uid="{75467EDE-EE98-4F6E-927A-3C3283059BA7}" name="QUANTITY SOLD"/>
    <tableColumn id="3" xr3:uid="{F113E83F-560D-41D0-8F74-94E21EF0543F}" name="Forecast(QUANTITY SOLD)"/>
    <tableColumn id="4" xr3:uid="{2026F2A5-9B57-400F-AE69-A36A0ADEC87D}" name="Lower Confidence Bound(QUANTITY SOLD)" dataDxfId="1"/>
    <tableColumn id="5" xr3:uid="{B87FCC7F-1AC0-4220-B445-B48F4960BF42}" name="Upper Confidence Bound(QUANTITY SOLD)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1CA62-2C76-4AA5-85E7-6C27D4586B1A}" name="Table1" displayName="Table1" ref="A1:C13" totalsRowShown="0" headerRowDxfId="3">
  <autoFilter ref="A1:C13" xr:uid="{0001CA62-2C76-4AA5-85E7-6C27D4586B1A}"/>
  <tableColumns count="3">
    <tableColumn id="1" xr3:uid="{BBDD17C8-008C-4F26-B749-4D3B08FB11A4}" name="MONTH" dataDxfId="4"/>
    <tableColumn id="2" xr3:uid="{181FB99D-1BF9-4638-A92E-7EDBDEB822C6}" name="MEDICINE"/>
    <tableColumn id="3" xr3:uid="{2D088155-84E2-4B34-B547-37E2F23328A0}" name="QUANTITY SOL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8ED5F-D863-42BD-A990-3A49D718ED80}">
  <dimension ref="A1:O25"/>
  <sheetViews>
    <sheetView showGridLines="0" tabSelected="1" zoomScale="94" workbookViewId="0">
      <selection activeCell="H23" sqref="H23"/>
    </sheetView>
  </sheetViews>
  <sheetFormatPr defaultRowHeight="14.4" x14ac:dyDescent="0.3"/>
  <cols>
    <col min="1" max="1" width="9.21875" customWidth="1"/>
    <col min="2" max="2" width="16.109375" customWidth="1"/>
    <col min="3" max="3" width="24.6640625" customWidth="1"/>
    <col min="4" max="4" width="37.6640625" customWidth="1"/>
    <col min="5" max="5" width="37.88671875" customWidth="1"/>
  </cols>
  <sheetData>
    <row r="1" spans="1:5" x14ac:dyDescent="0.3">
      <c r="A1" t="s">
        <v>0</v>
      </c>
      <c r="B1" t="s">
        <v>2</v>
      </c>
      <c r="C1" t="s">
        <v>4</v>
      </c>
      <c r="D1" t="s">
        <v>5</v>
      </c>
      <c r="E1" t="s">
        <v>6</v>
      </c>
    </row>
    <row r="2" spans="1:5" x14ac:dyDescent="0.3">
      <c r="A2" s="2">
        <v>45658</v>
      </c>
      <c r="B2">
        <v>420</v>
      </c>
    </row>
    <row r="3" spans="1:5" x14ac:dyDescent="0.3">
      <c r="A3" s="2">
        <v>45689</v>
      </c>
      <c r="B3">
        <v>450</v>
      </c>
    </row>
    <row r="4" spans="1:5" x14ac:dyDescent="0.3">
      <c r="A4" s="2">
        <v>45717</v>
      </c>
      <c r="B4">
        <v>480</v>
      </c>
    </row>
    <row r="5" spans="1:5" x14ac:dyDescent="0.3">
      <c r="A5" s="2">
        <v>45748</v>
      </c>
      <c r="B5">
        <v>510</v>
      </c>
    </row>
    <row r="6" spans="1:5" x14ac:dyDescent="0.3">
      <c r="A6" s="2">
        <v>45778</v>
      </c>
      <c r="B6">
        <v>530</v>
      </c>
    </row>
    <row r="7" spans="1:5" x14ac:dyDescent="0.3">
      <c r="A7" s="2">
        <v>45809</v>
      </c>
      <c r="B7">
        <v>560</v>
      </c>
    </row>
    <row r="8" spans="1:5" x14ac:dyDescent="0.3">
      <c r="A8" s="2">
        <v>45839</v>
      </c>
      <c r="B8">
        <v>590</v>
      </c>
    </row>
    <row r="9" spans="1:5" x14ac:dyDescent="0.3">
      <c r="A9" s="2">
        <v>45870</v>
      </c>
      <c r="B9">
        <v>610</v>
      </c>
    </row>
    <row r="10" spans="1:5" x14ac:dyDescent="0.3">
      <c r="A10" s="2">
        <v>45901</v>
      </c>
      <c r="B10">
        <v>640</v>
      </c>
    </row>
    <row r="11" spans="1:5" x14ac:dyDescent="0.3">
      <c r="A11" s="2">
        <v>45931</v>
      </c>
      <c r="B11">
        <v>670</v>
      </c>
    </row>
    <row r="12" spans="1:5" x14ac:dyDescent="0.3">
      <c r="A12" s="2">
        <v>45962</v>
      </c>
      <c r="B12">
        <v>700</v>
      </c>
    </row>
    <row r="13" spans="1:5" x14ac:dyDescent="0.3">
      <c r="A13" s="2">
        <v>45992</v>
      </c>
      <c r="B13">
        <v>730</v>
      </c>
      <c r="C13">
        <v>730</v>
      </c>
      <c r="D13" s="3">
        <v>730</v>
      </c>
      <c r="E13" s="3">
        <v>730</v>
      </c>
    </row>
    <row r="14" spans="1:5" x14ac:dyDescent="0.3">
      <c r="A14" s="2">
        <v>46023</v>
      </c>
      <c r="C14">
        <f>_xlfn.FORECAST.ETS(A14,$B$2:$B$13,$A$2:$A$13,1,1)</f>
        <v>753.66323023059351</v>
      </c>
      <c r="D14" s="3">
        <f>C14-_xlfn.FORECAST.ETS.CONFINT(A14,$B$2:$B$13,$A$2:$A$13,0.95,1,1)</f>
        <v>747.03589738066319</v>
      </c>
      <c r="E14" s="3">
        <f>C14+_xlfn.FORECAST.ETS.CONFINT(A14,$B$2:$B$13,$A$2:$A$13,0.95,1,1)</f>
        <v>760.29056308052384</v>
      </c>
    </row>
    <row r="15" spans="1:5" x14ac:dyDescent="0.3">
      <c r="A15" s="2">
        <v>46054</v>
      </c>
      <c r="C15">
        <f>_xlfn.FORECAST.ETS(A15,$B$2:$B$13,$A$2:$A$13,1,1)</f>
        <v>781.33387220658983</v>
      </c>
      <c r="D15" s="3">
        <f>C15-_xlfn.FORECAST.ETS.CONFINT(A15,$B$2:$B$13,$A$2:$A$13,0.95,1,1)</f>
        <v>774.65330701839082</v>
      </c>
      <c r="E15" s="3">
        <f>C15+_xlfn.FORECAST.ETS.CONFINT(A15,$B$2:$B$13,$A$2:$A$13,0.95,1,1)</f>
        <v>788.01443739478884</v>
      </c>
    </row>
    <row r="16" spans="1:5" x14ac:dyDescent="0.3">
      <c r="A16" s="2">
        <v>46082</v>
      </c>
      <c r="C16">
        <f>_xlfn.FORECAST.ETS(A16,$B$2:$B$13,$A$2:$A$13,1,1)</f>
        <v>809.00451418258615</v>
      </c>
      <c r="D16" s="3">
        <f>C16-_xlfn.FORECAST.ETS.CONFINT(A16,$B$2:$B$13,$A$2:$A$13,0.95,1,1)</f>
        <v>802.27030585816772</v>
      </c>
      <c r="E16" s="3">
        <f>C16+_xlfn.FORECAST.ETS.CONFINT(A16,$B$2:$B$13,$A$2:$A$13,0.95,1,1)</f>
        <v>815.73872250700458</v>
      </c>
    </row>
    <row r="20" spans="6:15" x14ac:dyDescent="0.3">
      <c r="F20" s="5" t="s">
        <v>7</v>
      </c>
      <c r="G20" s="5"/>
      <c r="H20" s="5"/>
      <c r="I20" s="5"/>
      <c r="J20" s="5"/>
      <c r="K20" s="5"/>
      <c r="L20" s="5"/>
      <c r="M20" s="5"/>
      <c r="N20" s="5"/>
      <c r="O20" s="5"/>
    </row>
    <row r="21" spans="6:15" ht="14.4" customHeight="1" x14ac:dyDescent="0.35">
      <c r="F21" s="6"/>
      <c r="G21" s="5" t="s">
        <v>8</v>
      </c>
      <c r="H21" s="5"/>
      <c r="I21" s="5"/>
      <c r="J21" s="5"/>
      <c r="K21" s="5"/>
      <c r="L21" s="5"/>
      <c r="M21" s="5"/>
      <c r="N21" s="5"/>
    </row>
    <row r="22" spans="6:15" x14ac:dyDescent="0.3">
      <c r="F22" s="4"/>
      <c r="G22" s="4"/>
      <c r="H22" s="4"/>
      <c r="I22" s="4"/>
      <c r="J22" s="4"/>
      <c r="K22" s="4"/>
      <c r="L22" s="4"/>
      <c r="M22" s="4"/>
      <c r="N22" s="4"/>
    </row>
    <row r="23" spans="6:15" x14ac:dyDescent="0.3">
      <c r="F23" s="4"/>
      <c r="G23" s="4"/>
      <c r="H23" s="4"/>
      <c r="I23" s="4"/>
      <c r="J23" s="4"/>
      <c r="K23" s="4"/>
      <c r="L23" s="4"/>
      <c r="M23" s="4"/>
      <c r="N23" s="4"/>
    </row>
    <row r="24" spans="6:15" x14ac:dyDescent="0.3">
      <c r="F24" s="4"/>
      <c r="G24" s="4"/>
      <c r="H24" s="4"/>
      <c r="I24" s="4"/>
      <c r="J24" s="4"/>
      <c r="K24" s="4"/>
      <c r="L24" s="4"/>
      <c r="M24" s="4"/>
      <c r="N24" s="4"/>
    </row>
    <row r="25" spans="6:15" x14ac:dyDescent="0.3">
      <c r="F25" s="4"/>
      <c r="G25" s="4"/>
      <c r="H25" s="4"/>
      <c r="I25" s="4"/>
      <c r="J25" s="4"/>
      <c r="K25" s="4"/>
      <c r="L25" s="4"/>
      <c r="M25" s="4"/>
      <c r="N25" s="4"/>
    </row>
  </sheetData>
  <mergeCells count="2">
    <mergeCell ref="F20:O20"/>
    <mergeCell ref="G21:N21"/>
  </mergeCell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D4974-758B-4E14-BBFB-86785BA64684}">
  <dimension ref="A1:C13"/>
  <sheetViews>
    <sheetView zoomScale="95" workbookViewId="0">
      <selection activeCell="C1" activeCellId="1" sqref="A1:A13 C1:C13"/>
    </sheetView>
  </sheetViews>
  <sheetFormatPr defaultRowHeight="14.4" x14ac:dyDescent="0.3"/>
  <cols>
    <col min="1" max="1" width="15.21875" customWidth="1"/>
    <col min="2" max="2" width="20" customWidth="1"/>
    <col min="3" max="3" width="30.6640625" customWidth="1"/>
  </cols>
  <sheetData>
    <row r="1" spans="1:3" ht="21.6" customHeight="1" x14ac:dyDescent="0.35">
      <c r="A1" s="1" t="s">
        <v>0</v>
      </c>
      <c r="B1" s="1" t="s">
        <v>1</v>
      </c>
      <c r="C1" s="1" t="s">
        <v>2</v>
      </c>
    </row>
    <row r="2" spans="1:3" x14ac:dyDescent="0.3">
      <c r="A2" s="2">
        <v>45658</v>
      </c>
      <c r="B2" t="s">
        <v>3</v>
      </c>
      <c r="C2">
        <v>420</v>
      </c>
    </row>
    <row r="3" spans="1:3" x14ac:dyDescent="0.3">
      <c r="A3" s="2">
        <v>45689</v>
      </c>
      <c r="B3" t="s">
        <v>3</v>
      </c>
      <c r="C3">
        <v>450</v>
      </c>
    </row>
    <row r="4" spans="1:3" x14ac:dyDescent="0.3">
      <c r="A4" s="2">
        <v>45717</v>
      </c>
      <c r="B4" t="s">
        <v>3</v>
      </c>
      <c r="C4">
        <v>480</v>
      </c>
    </row>
    <row r="5" spans="1:3" x14ac:dyDescent="0.3">
      <c r="A5" s="2">
        <v>45748</v>
      </c>
      <c r="B5" t="s">
        <v>3</v>
      </c>
      <c r="C5">
        <v>510</v>
      </c>
    </row>
    <row r="6" spans="1:3" x14ac:dyDescent="0.3">
      <c r="A6" s="2">
        <v>45778</v>
      </c>
      <c r="B6" t="s">
        <v>3</v>
      </c>
      <c r="C6">
        <v>530</v>
      </c>
    </row>
    <row r="7" spans="1:3" x14ac:dyDescent="0.3">
      <c r="A7" s="2">
        <v>45809</v>
      </c>
      <c r="B7" t="s">
        <v>3</v>
      </c>
      <c r="C7">
        <v>560</v>
      </c>
    </row>
    <row r="8" spans="1:3" x14ac:dyDescent="0.3">
      <c r="A8" s="2">
        <v>45839</v>
      </c>
      <c r="B8" t="s">
        <v>3</v>
      </c>
      <c r="C8">
        <v>590</v>
      </c>
    </row>
    <row r="9" spans="1:3" x14ac:dyDescent="0.3">
      <c r="A9" s="2">
        <v>45870</v>
      </c>
      <c r="B9" t="s">
        <v>3</v>
      </c>
      <c r="C9">
        <v>610</v>
      </c>
    </row>
    <row r="10" spans="1:3" x14ac:dyDescent="0.3">
      <c r="A10" s="2">
        <v>45901</v>
      </c>
      <c r="B10" t="s">
        <v>3</v>
      </c>
      <c r="C10">
        <v>640</v>
      </c>
    </row>
    <row r="11" spans="1:3" x14ac:dyDescent="0.3">
      <c r="A11" s="2">
        <v>45931</v>
      </c>
      <c r="B11" t="s">
        <v>3</v>
      </c>
      <c r="C11">
        <v>670</v>
      </c>
    </row>
    <row r="12" spans="1:3" x14ac:dyDescent="0.3">
      <c r="A12" s="2">
        <v>45962</v>
      </c>
      <c r="B12" t="s">
        <v>3</v>
      </c>
      <c r="C12">
        <v>700</v>
      </c>
    </row>
    <row r="13" spans="1:3" x14ac:dyDescent="0.3">
      <c r="A13" s="2">
        <v>45992</v>
      </c>
      <c r="B13" t="s">
        <v>3</v>
      </c>
      <c r="C13">
        <v>730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DRUG DEMAND FORECAST</vt:lpstr>
      <vt:lpstr>HISTORICAL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Shivani</dc:creator>
  <cp:lastModifiedBy>Shivani</cp:lastModifiedBy>
  <dcterms:created xsi:type="dcterms:W3CDTF">2026-09-27T05:02:28Z</dcterms:created>
  <dcterms:modified xsi:type="dcterms:W3CDTF">2026-09-27T05:41:23Z</dcterms:modified>
</cp:coreProperties>
</file>